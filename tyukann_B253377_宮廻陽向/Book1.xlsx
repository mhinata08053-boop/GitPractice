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いろいろ課題提出用\プログラミング演習\tyukann_B253377_宮廻陽向\"/>
    </mc:Choice>
  </mc:AlternateContent>
  <xr:revisionPtr revIDLastSave="0" documentId="8_{27923DAF-6E3A-46B7-8BF5-BF10108624FF}" xr6:coauthVersionLast="47" xr6:coauthVersionMax="47" xr10:uidLastSave="{00000000-0000-0000-0000-000000000000}"/>
  <bookViews>
    <workbookView xWindow="10335" yWindow="113" windowWidth="9578" windowHeight="12600" xr2:uid="{1C3BC8F9-D4C3-4A31-877E-8612C275E7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N5" i="1"/>
  <c r="N4" i="1"/>
  <c r="M4" i="1"/>
  <c r="M5" i="1"/>
  <c r="M6" i="1"/>
  <c r="M3" i="1"/>
  <c r="L4" i="1"/>
  <c r="L5" i="1"/>
  <c r="L6" i="1"/>
  <c r="L3" i="1"/>
</calcChain>
</file>

<file path=xl/sharedStrings.xml><?xml version="1.0" encoding="utf-8"?>
<sst xmlns="http://schemas.openxmlformats.org/spreadsheetml/2006/main" count="10" uniqueCount="10">
  <si>
    <t>java中間課題　処理時間計測結果</t>
    <rPh sb="4" eb="8">
      <t>チュウカンカダイ</t>
    </rPh>
    <rPh sb="9" eb="13">
      <t>ショリジカン</t>
    </rPh>
    <rPh sb="13" eb="15">
      <t>ケイソク</t>
    </rPh>
    <rPh sb="15" eb="17">
      <t>ケッカ</t>
    </rPh>
    <phoneticPr fontId="1"/>
  </si>
  <si>
    <t>実行回数</t>
    <rPh sb="0" eb="2">
      <t>ジッコウ</t>
    </rPh>
    <rPh sb="2" eb="4">
      <t>カイスウ</t>
    </rPh>
    <phoneticPr fontId="1"/>
  </si>
  <si>
    <t>シンプル</t>
    <phoneticPr fontId="1"/>
  </si>
  <si>
    <t>方法③</t>
    <rPh sb="0" eb="2">
      <t>ホウホウ</t>
    </rPh>
    <phoneticPr fontId="1"/>
  </si>
  <si>
    <t>方法①</t>
    <rPh sb="0" eb="3">
      <t>ホウホウマル1</t>
    </rPh>
    <phoneticPr fontId="1"/>
  </si>
  <si>
    <t>方法②</t>
    <rPh sb="0" eb="3">
      <t>ホウホウマル2</t>
    </rPh>
    <phoneticPr fontId="1"/>
  </si>
  <si>
    <t>平均</t>
    <rPh sb="0" eb="2">
      <t>ヘイキン</t>
    </rPh>
    <phoneticPr fontId="1"/>
  </si>
  <si>
    <t>標準偏差</t>
    <rPh sb="0" eb="4">
      <t>ヒョウジュンヘンサ</t>
    </rPh>
    <phoneticPr fontId="1"/>
  </si>
  <si>
    <t>削減率</t>
    <rPh sb="0" eb="3">
      <t>サクゲンリツ</t>
    </rPh>
    <phoneticPr fontId="1"/>
  </si>
  <si>
    <t>－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</si>
</sst>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5" formatCode="0.0_ 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" fontId="0" fillId="0" borderId="0" xfId="0" applyNumberFormat="1">
      <alignment vertical="center"/>
    </xf>
    <xf numFmtId="195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AAB2A-3622-4682-8B0D-BCE5387F58ED}">
  <dimension ref="A1:N6"/>
  <sheetViews>
    <sheetView tabSelected="1" topLeftCell="K1" workbookViewId="0">
      <selection activeCell="L6" sqref="L6"/>
    </sheetView>
  </sheetViews>
  <sheetFormatPr defaultRowHeight="17.649999999999999" x14ac:dyDescent="0.7"/>
  <cols>
    <col min="13" max="13" width="9.4375" bestFit="1" customWidth="1"/>
    <col min="14" max="14" width="18.375" bestFit="1" customWidth="1"/>
  </cols>
  <sheetData>
    <row r="1" spans="1:14" x14ac:dyDescent="0.7">
      <c r="A1" t="s">
        <v>0</v>
      </c>
    </row>
    <row r="2" spans="1:14" x14ac:dyDescent="0.7">
      <c r="A2" t="s">
        <v>1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 t="s">
        <v>6</v>
      </c>
      <c r="M2" t="s">
        <v>7</v>
      </c>
      <c r="N2" t="s">
        <v>8</v>
      </c>
    </row>
    <row r="3" spans="1:14" x14ac:dyDescent="0.7">
      <c r="A3" t="s">
        <v>2</v>
      </c>
      <c r="B3">
        <v>85658</v>
      </c>
      <c r="C3">
        <v>76742</v>
      </c>
      <c r="D3">
        <v>76885</v>
      </c>
      <c r="E3">
        <v>78498</v>
      </c>
      <c r="F3">
        <v>75702</v>
      </c>
      <c r="G3">
        <v>78498</v>
      </c>
      <c r="H3">
        <v>74002</v>
      </c>
      <c r="I3">
        <v>77190</v>
      </c>
      <c r="J3">
        <v>72636</v>
      </c>
      <c r="K3">
        <v>71223</v>
      </c>
      <c r="L3" s="1">
        <f>AVERAGE(B3,C3,D3,E3,F3,G3,H3,I3,J3,K3)</f>
        <v>76703.399999999994</v>
      </c>
      <c r="M3" s="1">
        <f>_xlfn.STDEV.S(B3:K3)</f>
        <v>3968.9934128329201</v>
      </c>
      <c r="N3" t="s">
        <v>9</v>
      </c>
    </row>
    <row r="4" spans="1:14" x14ac:dyDescent="0.7">
      <c r="A4" t="s">
        <v>4</v>
      </c>
      <c r="B4">
        <v>39821</v>
      </c>
      <c r="C4">
        <v>38633</v>
      </c>
      <c r="D4">
        <v>36219</v>
      </c>
      <c r="E4">
        <v>35481</v>
      </c>
      <c r="F4">
        <v>36234</v>
      </c>
      <c r="G4">
        <v>41685</v>
      </c>
      <c r="H4">
        <v>40652</v>
      </c>
      <c r="I4">
        <v>38785</v>
      </c>
      <c r="J4">
        <v>37827</v>
      </c>
      <c r="K4">
        <v>34812</v>
      </c>
      <c r="L4" s="1">
        <f t="shared" ref="L4:L6" si="0">AVERAGE(B4,C4,D4,E4,F4,G4,H4,I4,J4,K4)</f>
        <v>38014.9</v>
      </c>
      <c r="M4" s="1">
        <f t="shared" ref="M4:M6" si="1">_xlfn.STDEV.S(B4:K4)</f>
        <v>2303.9197251640521</v>
      </c>
      <c r="N4" s="2">
        <f>((L3-L4)/L3)*100</f>
        <v>50.439093964543936</v>
      </c>
    </row>
    <row r="5" spans="1:14" x14ac:dyDescent="0.7">
      <c r="A5" t="s">
        <v>5</v>
      </c>
      <c r="B5">
        <v>159</v>
      </c>
      <c r="C5">
        <v>137</v>
      </c>
      <c r="D5">
        <v>137</v>
      </c>
      <c r="E5">
        <v>133</v>
      </c>
      <c r="F5">
        <v>123</v>
      </c>
      <c r="G5">
        <v>142</v>
      </c>
      <c r="H5">
        <v>123</v>
      </c>
      <c r="I5">
        <v>147</v>
      </c>
      <c r="J5">
        <v>191</v>
      </c>
      <c r="K5">
        <v>130</v>
      </c>
      <c r="L5" s="1">
        <f t="shared" si="0"/>
        <v>142.19999999999999</v>
      </c>
      <c r="M5" s="1">
        <f t="shared" si="1"/>
        <v>20.307634032550435</v>
      </c>
      <c r="N5" s="2">
        <f>((L3-L5)/L3)*100</f>
        <v>99.814610564851108</v>
      </c>
    </row>
    <row r="6" spans="1:14" x14ac:dyDescent="0.7">
      <c r="A6" t="s">
        <v>3</v>
      </c>
      <c r="B6">
        <v>86</v>
      </c>
      <c r="C6">
        <v>78</v>
      </c>
      <c r="D6">
        <v>68</v>
      </c>
      <c r="E6">
        <v>68</v>
      </c>
      <c r="F6">
        <v>76</v>
      </c>
      <c r="G6">
        <v>72</v>
      </c>
      <c r="H6">
        <v>64</v>
      </c>
      <c r="I6">
        <v>72</v>
      </c>
      <c r="J6">
        <v>75</v>
      </c>
      <c r="K6">
        <v>65</v>
      </c>
      <c r="L6" s="1">
        <f t="shared" si="0"/>
        <v>72.400000000000006</v>
      </c>
      <c r="M6" s="1">
        <f t="shared" si="1"/>
        <v>6.6699991670830743</v>
      </c>
      <c r="N6" s="2">
        <f>((L3-L6)/L3)*100</f>
        <v>99.905610442301125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宮廻 陽向</dc:creator>
  <cp:lastModifiedBy>宮廻 陽向</cp:lastModifiedBy>
  <dcterms:created xsi:type="dcterms:W3CDTF">2025-05-23T05:21:05Z</dcterms:created>
  <dcterms:modified xsi:type="dcterms:W3CDTF">2025-05-24T11:12:41Z</dcterms:modified>
</cp:coreProperties>
</file>